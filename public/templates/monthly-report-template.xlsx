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8_{CE401D80-2973-4A4D-A804-A93E42EDE456}" xr6:coauthVersionLast="47" xr6:coauthVersionMax="47" xr10:uidLastSave="{00000000-0000-0000-0000-000000000000}"/>
  <workbookProtection lockStructure="1"/>
  <bookViews>
    <workbookView xWindow="-108" yWindow="-108" windowWidth="23256" windowHeight="13896" xr2:uid="{158CA3E5-E0EB-4433-8D77-DC1A3310536F}"/>
  </bookViews>
  <sheets>
    <sheet name="ינואר" sheetId="7" r:id="rId1"/>
    <sheet name="גיליון1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7" l="1"/>
  <c r="J32" i="7"/>
  <c r="I33" i="7"/>
  <c r="J33" i="7"/>
  <c r="I34" i="7"/>
  <c r="J34" i="7"/>
  <c r="I6" i="7"/>
  <c r="I7" i="7"/>
  <c r="J7" i="7"/>
  <c r="I8" i="7"/>
  <c r="J8" i="7"/>
  <c r="I9" i="7"/>
  <c r="J9" i="7"/>
  <c r="H35" i="7"/>
  <c r="G35" i="7"/>
  <c r="F35" i="7"/>
  <c r="E35" i="7"/>
  <c r="G37" i="7" a="1"/>
  <c r="G37" i="7"/>
  <c r="H37" i="7"/>
  <c r="E37" i="7" a="1"/>
  <c r="E37" i="7"/>
  <c r="F37" i="7"/>
  <c r="I5" i="7"/>
  <c r="J5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4" i="7"/>
  <c r="J4" i="7"/>
  <c r="B4" i="7"/>
  <c r="A4" i="7"/>
  <c r="B5" i="7"/>
  <c r="B6" i="7"/>
  <c r="B7" i="7"/>
  <c r="A6" i="7"/>
  <c r="A5" i="7"/>
  <c r="J6" i="7"/>
  <c r="B8" i="7"/>
  <c r="A7" i="7"/>
  <c r="A8" i="7"/>
  <c r="B9" i="7"/>
  <c r="A9" i="7"/>
  <c r="B10" i="7"/>
  <c r="A10" i="7"/>
  <c r="B11" i="7"/>
  <c r="B12" i="7"/>
  <c r="A11" i="7"/>
  <c r="A12" i="7"/>
  <c r="B13" i="7"/>
  <c r="B14" i="7"/>
  <c r="A13" i="7"/>
  <c r="B15" i="7"/>
  <c r="A14" i="7"/>
  <c r="A15" i="7"/>
  <c r="B16" i="7"/>
  <c r="B17" i="7"/>
  <c r="A16" i="7"/>
  <c r="B18" i="7"/>
  <c r="A17" i="7"/>
  <c r="A18" i="7"/>
  <c r="B19" i="7"/>
  <c r="A19" i="7"/>
  <c r="B20" i="7"/>
  <c r="B21" i="7"/>
  <c r="A20" i="7"/>
  <c r="A21" i="7"/>
  <c r="B22" i="7"/>
  <c r="A22" i="7"/>
  <c r="B23" i="7"/>
  <c r="A23" i="7"/>
  <c r="B24" i="7"/>
  <c r="B25" i="7"/>
  <c r="A24" i="7"/>
  <c r="B26" i="7"/>
  <c r="A25" i="7"/>
  <c r="B27" i="7"/>
  <c r="A26" i="7"/>
  <c r="B28" i="7"/>
  <c r="A27" i="7"/>
  <c r="A28" i="7"/>
  <c r="B29" i="7"/>
  <c r="A29" i="7"/>
  <c r="B30" i="7"/>
  <c r="B31" i="7"/>
  <c r="A30" i="7"/>
  <c r="B33" i="7"/>
  <c r="A33" i="7"/>
  <c r="B32" i="7"/>
  <c r="A32" i="7"/>
  <c r="A31" i="7"/>
  <c r="B34" i="7"/>
  <c r="A34" i="7"/>
  <c r="I37" i="7"/>
  <c r="J37" i="7"/>
</calcChain>
</file>

<file path=xl/sharedStrings.xml><?xml version="1.0" encoding="utf-8"?>
<sst xmlns="http://schemas.openxmlformats.org/spreadsheetml/2006/main" count="35" uniqueCount="23">
  <si>
    <t>בס"ד</t>
  </si>
  <si>
    <t>חודש</t>
  </si>
  <si>
    <t>תאריך</t>
  </si>
  <si>
    <t>משעה</t>
  </si>
  <si>
    <t>עד שעה</t>
  </si>
  <si>
    <t>הערות</t>
  </si>
  <si>
    <t>סה"כ ימים עבור נסיעות</t>
  </si>
  <si>
    <t>סה"כ שעות חודשיות</t>
  </si>
  <si>
    <t>תפקיד</t>
  </si>
  <si>
    <t>סך שעות</t>
  </si>
  <si>
    <t>סך לרישום</t>
  </si>
  <si>
    <t>שם פרטי</t>
  </si>
  <si>
    <t>משפחה</t>
  </si>
  <si>
    <t>מס' עובד</t>
  </si>
  <si>
    <t xml:space="preserve">יום </t>
  </si>
  <si>
    <t>א</t>
  </si>
  <si>
    <t>ב</t>
  </si>
  <si>
    <t>ג</t>
  </si>
  <si>
    <t>ד</t>
  </si>
  <si>
    <t>ה</t>
  </si>
  <si>
    <t>ו</t>
  </si>
  <si>
    <t>ש</t>
  </si>
  <si>
    <t>שם המטופלת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</si>
</sst>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0" formatCode="mmm\ yyyy"/>
    <numFmt numFmtId="172" formatCode="[$-1000000]h:mm;@"/>
    <numFmt numFmtId="173" formatCode="[h]:mm"/>
    <numFmt numFmtId="176" formatCode="d/mmm/yy"/>
    <numFmt numFmtId="178" formatCode="_ * #,##0.0000_ ;_ * \-#,##0.0000_ ;_ * &quot;-&quot;??_ ;_ @_ "/>
    <numFmt numFmtId="179" formatCode="[m]:ss"/>
    <numFmt numFmtId="181" formatCode="_ * #,##0_ ;_ * \-#,##0_ ;_ * &quot;-&quot;??_ ;_ @_ "/>
    <numFmt numFmtId="185" formatCode="d"/>
    <numFmt numFmtId="186" formatCode="[$-1010000]d\.m;@"/>
  </numFmts>
  <fonts count="7" x14ac:knownFonts="1">
    <font>
      <sz val="10"/>
      <name val="Arial"/>
      <charset val="177"/>
    </font>
    <font>
      <sz val="10"/>
      <name val="Arial"/>
      <charset val="177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170" fontId="3" fillId="0" borderId="1" xfId="0" applyNumberFormat="1" applyFont="1" applyBorder="1" applyAlignment="1" applyProtection="1">
      <protection locked="0"/>
    </xf>
    <xf numFmtId="172" fontId="0" fillId="0" borderId="2" xfId="0" applyNumberFormat="1" applyFill="1" applyBorder="1" applyProtection="1">
      <protection locked="0"/>
    </xf>
    <xf numFmtId="172" fontId="0" fillId="0" borderId="3" xfId="0" applyNumberFormat="1" applyFill="1" applyBorder="1" applyProtection="1">
      <protection locked="0"/>
    </xf>
    <xf numFmtId="172" fontId="0" fillId="0" borderId="4" xfId="0" applyNumberFormat="1" applyFill="1" applyBorder="1" applyProtection="1">
      <protection locked="0"/>
    </xf>
    <xf numFmtId="172" fontId="0" fillId="0" borderId="5" xfId="0" applyNumberFormat="1" applyFill="1" applyBorder="1" applyProtection="1">
      <protection locked="0"/>
    </xf>
    <xf numFmtId="172" fontId="0" fillId="0" borderId="6" xfId="0" applyNumberFormat="1" applyFill="1" applyBorder="1" applyProtection="1">
      <protection locked="0"/>
    </xf>
    <xf numFmtId="172" fontId="0" fillId="0" borderId="7" xfId="0" applyNumberFormat="1" applyFill="1" applyBorder="1" applyProtection="1">
      <protection locked="0"/>
    </xf>
    <xf numFmtId="172" fontId="0" fillId="0" borderId="8" xfId="0" applyNumberFormat="1" applyFill="1" applyBorder="1" applyProtection="1">
      <protection locked="0"/>
    </xf>
    <xf numFmtId="172" fontId="0" fillId="0" borderId="7" xfId="0" applyNumberFormat="1" applyBorder="1" applyProtection="1">
      <protection locked="0"/>
    </xf>
    <xf numFmtId="172" fontId="0" fillId="0" borderId="6" xfId="0" applyNumberFormat="1" applyBorder="1" applyProtection="1">
      <protection locked="0"/>
    </xf>
    <xf numFmtId="172" fontId="0" fillId="0" borderId="8" xfId="0" applyNumberFormat="1" applyBorder="1" applyProtection="1">
      <protection locked="0"/>
    </xf>
    <xf numFmtId="172" fontId="0" fillId="0" borderId="9" xfId="0" applyNumberFormat="1" applyBorder="1" applyProtection="1">
      <protection locked="0"/>
    </xf>
    <xf numFmtId="172" fontId="0" fillId="0" borderId="10" xfId="0" applyNumberFormat="1" applyBorder="1" applyProtection="1">
      <protection locked="0"/>
    </xf>
    <xf numFmtId="172" fontId="0" fillId="0" borderId="11" xfId="0" applyNumberFormat="1" applyBorder="1" applyProtection="1">
      <protection locked="0"/>
    </xf>
    <xf numFmtId="172" fontId="0" fillId="0" borderId="11" xfId="0" applyNumberFormat="1" applyBorder="1" applyAlignment="1" applyProtection="1">
      <alignment horizontal="right" wrapText="1"/>
    </xf>
    <xf numFmtId="172" fontId="0" fillId="0" borderId="12" xfId="0" applyNumberFormat="1" applyBorder="1" applyAlignment="1" applyProtection="1">
      <alignment horizontal="right" wrapText="1"/>
    </xf>
    <xf numFmtId="2" fontId="0" fillId="0" borderId="13" xfId="0" applyNumberFormat="1" applyFill="1" applyBorder="1" applyAlignment="1" applyProtection="1">
      <alignment horizontal="right"/>
    </xf>
    <xf numFmtId="2" fontId="0" fillId="0" borderId="14" xfId="0" applyNumberFormat="1" applyFill="1" applyBorder="1" applyAlignment="1" applyProtection="1">
      <alignment horizontal="right"/>
    </xf>
    <xf numFmtId="173" fontId="0" fillId="0" borderId="5" xfId="0" applyNumberFormat="1" applyFill="1" applyBorder="1" applyProtection="1"/>
    <xf numFmtId="2" fontId="0" fillId="0" borderId="15" xfId="0" applyNumberFormat="1" applyFill="1" applyBorder="1" applyAlignment="1" applyProtection="1">
      <alignment horizontal="right"/>
    </xf>
    <xf numFmtId="0" fontId="0" fillId="0" borderId="0" xfId="0" applyProtection="1"/>
    <xf numFmtId="0" fontId="3" fillId="0" borderId="0" xfId="0" applyFont="1" applyProtection="1"/>
    <xf numFmtId="170" fontId="3" fillId="0" borderId="0" xfId="0" applyNumberFormat="1" applyFont="1" applyBorder="1" applyAlignment="1" applyProtection="1">
      <alignment horizontal="center"/>
    </xf>
    <xf numFmtId="0" fontId="3" fillId="0" borderId="16" xfId="0" applyFont="1" applyBorder="1" applyAlignment="1" applyProtection="1">
      <alignment horizontal="center" vertical="center"/>
    </xf>
    <xf numFmtId="0" fontId="3" fillId="0" borderId="17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4" fillId="0" borderId="18" xfId="0" applyFont="1" applyBorder="1" applyAlignment="1" applyProtection="1">
      <alignment horizontal="center" vertical="center" wrapText="1"/>
    </xf>
    <xf numFmtId="0" fontId="4" fillId="0" borderId="19" xfId="0" applyFont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</xf>
    <xf numFmtId="179" fontId="0" fillId="0" borderId="0" xfId="0" applyNumberFormat="1" applyProtection="1"/>
    <xf numFmtId="178" fontId="0" fillId="0" borderId="0" xfId="1" applyNumberFormat="1" applyFont="1" applyProtection="1"/>
    <xf numFmtId="176" fontId="0" fillId="0" borderId="0" xfId="0" applyNumberFormat="1" applyProtection="1"/>
    <xf numFmtId="0" fontId="0" fillId="0" borderId="0" xfId="0" applyBorder="1" applyProtection="1"/>
    <xf numFmtId="2" fontId="0" fillId="0" borderId="0" xfId="0" applyNumberFormat="1" applyProtection="1"/>
    <xf numFmtId="0" fontId="5" fillId="0" borderId="0" xfId="0" applyFont="1" applyProtection="1"/>
    <xf numFmtId="14" fontId="0" fillId="0" borderId="0" xfId="0" applyNumberFormat="1" applyProtection="1"/>
    <xf numFmtId="0" fontId="5" fillId="0" borderId="0" xfId="0" applyFont="1" applyFill="1" applyProtection="1"/>
    <xf numFmtId="0" fontId="0" fillId="0" borderId="0" xfId="0" applyFill="1" applyProtection="1"/>
    <xf numFmtId="14" fontId="0" fillId="0" borderId="0" xfId="0" applyNumberFormat="1" applyFill="1" applyProtection="1"/>
    <xf numFmtId="43" fontId="0" fillId="0" borderId="0" xfId="1" applyFont="1" applyFill="1" applyProtection="1"/>
    <xf numFmtId="173" fontId="0" fillId="0" borderId="11" xfId="0" applyNumberFormat="1" applyFill="1" applyBorder="1" applyProtection="1"/>
    <xf numFmtId="172" fontId="0" fillId="0" borderId="20" xfId="0" applyNumberFormat="1" applyBorder="1" applyProtection="1"/>
    <xf numFmtId="0" fontId="0" fillId="0" borderId="21" xfId="0" applyBorder="1" applyProtection="1"/>
    <xf numFmtId="181" fontId="0" fillId="0" borderId="20" xfId="1" applyNumberFormat="1" applyFont="1" applyBorder="1" applyProtection="1"/>
    <xf numFmtId="181" fontId="0" fillId="0" borderId="22" xfId="1" applyNumberFormat="1" applyFont="1" applyBorder="1" applyProtection="1"/>
    <xf numFmtId="181" fontId="0" fillId="0" borderId="20" xfId="0" applyNumberFormat="1" applyFill="1" applyBorder="1" applyAlignment="1" applyProtection="1">
      <alignment horizontal="right"/>
    </xf>
    <xf numFmtId="2" fontId="0" fillId="0" borderId="23" xfId="0" applyNumberFormat="1" applyFill="1" applyBorder="1" applyAlignment="1" applyProtection="1">
      <alignment horizontal="right"/>
    </xf>
    <xf numFmtId="172" fontId="0" fillId="0" borderId="11" xfId="0" applyNumberFormat="1" applyBorder="1" applyProtection="1"/>
    <xf numFmtId="172" fontId="0" fillId="0" borderId="24" xfId="0" applyNumberFormat="1" applyBorder="1" applyProtection="1"/>
    <xf numFmtId="0" fontId="0" fillId="0" borderId="25" xfId="0" applyBorder="1" applyProtection="1"/>
    <xf numFmtId="173" fontId="0" fillId="0" borderId="24" xfId="0" applyNumberFormat="1" applyBorder="1" applyProtection="1"/>
    <xf numFmtId="43" fontId="0" fillId="0" borderId="26" xfId="1" applyFont="1" applyBorder="1" applyProtection="1"/>
    <xf numFmtId="185" fontId="0" fillId="0" borderId="15" xfId="0" applyNumberFormat="1" applyBorder="1" applyAlignment="1" applyProtection="1">
      <alignment horizontal="center"/>
    </xf>
    <xf numFmtId="186" fontId="0" fillId="0" borderId="7" xfId="0" applyNumberFormat="1" applyBorder="1" applyAlignment="1" applyProtection="1">
      <alignment horizontal="center"/>
    </xf>
    <xf numFmtId="0" fontId="4" fillId="0" borderId="27" xfId="0" applyFont="1" applyBorder="1" applyAlignment="1" applyProtection="1">
      <alignment horizontal="center" vertical="center" wrapText="1"/>
    </xf>
    <xf numFmtId="2" fontId="0" fillId="0" borderId="28" xfId="0" applyNumberFormat="1" applyFill="1" applyBorder="1" applyAlignment="1" applyProtection="1">
      <alignment horizontal="right"/>
    </xf>
    <xf numFmtId="2" fontId="0" fillId="0" borderId="29" xfId="0" applyNumberFormat="1" applyFill="1" applyBorder="1" applyAlignment="1" applyProtection="1">
      <alignment horizontal="right"/>
    </xf>
    <xf numFmtId="43" fontId="0" fillId="0" borderId="30" xfId="1" applyFont="1" applyBorder="1" applyProtection="1"/>
    <xf numFmtId="0" fontId="0" fillId="0" borderId="31" xfId="0" applyBorder="1" applyProtection="1">
      <protection locked="0"/>
    </xf>
    <xf numFmtId="0" fontId="0" fillId="0" borderId="32" xfId="0" applyBorder="1" applyProtection="1">
      <protection locked="0"/>
    </xf>
    <xf numFmtId="0" fontId="2" fillId="0" borderId="32" xfId="0" applyFont="1" applyBorder="1" applyProtection="1">
      <protection locked="0"/>
    </xf>
    <xf numFmtId="0" fontId="0" fillId="0" borderId="12" xfId="0" applyBorder="1" applyProtection="1">
      <protection locked="0"/>
    </xf>
    <xf numFmtId="170" fontId="3" fillId="0" borderId="0" xfId="0" applyNumberFormat="1" applyFont="1" applyBorder="1" applyAlignment="1" applyProtection="1">
      <protection locked="0"/>
    </xf>
    <xf numFmtId="0" fontId="3" fillId="0" borderId="33" xfId="0" applyFont="1" applyBorder="1" applyAlignment="1" applyProtection="1">
      <alignment horizontal="center" vertical="center"/>
    </xf>
    <xf numFmtId="0" fontId="0" fillId="0" borderId="33" xfId="0" applyBorder="1" applyProtection="1"/>
    <xf numFmtId="170" fontId="6" fillId="2" borderId="1" xfId="0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2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182" formatCode="\-\-\-"/>
    </dxf>
    <dxf>
      <numFmt numFmtId="182" formatCode="\-\-\-"/>
      <fill>
        <patternFill patternType="none">
          <bgColor indexed="65"/>
        </patternFill>
      </fill>
    </dxf>
    <dxf>
      <numFmt numFmtId="182" formatCode="\-\-\-"/>
      <fill>
        <patternFill patternType="none">
          <bgColor indexed="65"/>
        </patternFill>
      </fill>
    </dxf>
    <dxf>
      <numFmt numFmtId="182" formatCode="\-\-\-"/>
      <fill>
        <patternFill patternType="none"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0DF5-5F2E-47C7-B607-593E12666776}">
  <sheetPr>
    <pageSetUpPr fitToPage="1"/>
  </sheetPr>
  <dimension ref="A1:O47"/>
  <sheetViews>
    <sheetView rightToLeft="1"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K33" sqref="K4:L33"/>
    </sheetView>
  </sheetViews>
  <sheetFormatPr defaultColWidth="9.109375" defaultRowHeight="13.2" x14ac:dyDescent="0.25"/>
  <cols>
    <col min="1" max="1" width="3.88671875" style="22" customWidth="1"/>
    <col min="2" max="2" width="6.109375" style="22" customWidth="1"/>
    <col min="3" max="3" width="6.5546875" style="22" bestFit="1" customWidth="1"/>
    <col min="4" max="4" width="7.109375" style="22" customWidth="1"/>
    <col min="5" max="5" width="5.6640625" style="22" customWidth="1"/>
    <col min="6" max="6" width="7.88671875" style="22" customWidth="1"/>
    <col min="7" max="7" width="5.6640625" style="22" customWidth="1"/>
    <col min="8" max="8" width="6.5546875" style="22" customWidth="1"/>
    <col min="9" max="9" width="7.44140625" style="22" bestFit="1" customWidth="1"/>
    <col min="10" max="10" width="8.6640625" style="22" bestFit="1" customWidth="1"/>
    <col min="11" max="11" width="20.44140625" style="22" bestFit="1" customWidth="1"/>
    <col min="12" max="12" width="32.33203125" style="22" bestFit="1" customWidth="1"/>
    <col min="13" max="13" width="9.109375" style="22"/>
    <col min="14" max="14" width="10.109375" style="22" bestFit="1" customWidth="1"/>
    <col min="15" max="16384" width="9.109375" style="22"/>
  </cols>
  <sheetData>
    <row r="1" spans="1:15" ht="20.25" customHeight="1" x14ac:dyDescent="0.3">
      <c r="A1" s="22" t="s">
        <v>0</v>
      </c>
      <c r="B1" s="23" t="s">
        <v>1</v>
      </c>
      <c r="C1" s="67">
        <v>46054</v>
      </c>
      <c r="D1" s="67"/>
      <c r="F1" s="23" t="s">
        <v>11</v>
      </c>
      <c r="G1" s="2"/>
      <c r="H1" s="2"/>
      <c r="I1" s="23" t="s">
        <v>12</v>
      </c>
      <c r="J1" s="2"/>
      <c r="K1" s="2"/>
      <c r="L1" s="2"/>
    </row>
    <row r="2" spans="1:15" ht="20.25" customHeight="1" thickBot="1" x14ac:dyDescent="0.3">
      <c r="B2" s="23"/>
      <c r="C2" s="24"/>
      <c r="D2" s="24"/>
      <c r="F2" s="23" t="s">
        <v>13</v>
      </c>
      <c r="G2" s="2"/>
      <c r="H2" s="2"/>
      <c r="I2" s="23" t="s">
        <v>8</v>
      </c>
      <c r="J2" s="2"/>
      <c r="K2" s="2"/>
      <c r="L2" s="64"/>
    </row>
    <row r="3" spans="1:15" s="30" customFormat="1" ht="25.5" customHeight="1" thickBot="1" x14ac:dyDescent="0.3">
      <c r="A3" s="25" t="s">
        <v>14</v>
      </c>
      <c r="B3" s="26" t="s">
        <v>2</v>
      </c>
      <c r="C3" s="27" t="s">
        <v>3</v>
      </c>
      <c r="D3" s="26" t="s">
        <v>4</v>
      </c>
      <c r="E3" s="27" t="s">
        <v>3</v>
      </c>
      <c r="F3" s="26" t="s">
        <v>4</v>
      </c>
      <c r="G3" s="27" t="s">
        <v>3</v>
      </c>
      <c r="H3" s="26" t="s">
        <v>4</v>
      </c>
      <c r="I3" s="28" t="s">
        <v>9</v>
      </c>
      <c r="J3" s="29" t="s">
        <v>10</v>
      </c>
      <c r="K3" s="56" t="s">
        <v>22</v>
      </c>
      <c r="L3" s="65" t="s">
        <v>5</v>
      </c>
    </row>
    <row r="4" spans="1:15" ht="18" customHeight="1" x14ac:dyDescent="0.25">
      <c r="A4" s="54" t="str">
        <f>VLOOKUP(WEEKDAY(B4),גיליון1!$A$1:$B$7,2,0)</f>
        <v>א</v>
      </c>
      <c r="B4" s="55">
        <f>+C1</f>
        <v>46054</v>
      </c>
      <c r="C4" s="3"/>
      <c r="D4" s="4"/>
      <c r="E4" s="3"/>
      <c r="F4" s="4"/>
      <c r="G4" s="5"/>
      <c r="H4" s="4"/>
      <c r="I4" s="20">
        <f t="shared" ref="I4:I31" si="0">+H4-G4+F4-E4+D4-C4+(D4&lt;C4)+(F4&lt;E4)+(H4&lt;G4)</f>
        <v>0</v>
      </c>
      <c r="J4" s="21">
        <f>+I4*24</f>
        <v>0</v>
      </c>
      <c r="K4" s="60"/>
      <c r="L4" s="66"/>
    </row>
    <row r="5" spans="1:15" ht="18" customHeight="1" x14ac:dyDescent="0.25">
      <c r="A5" s="54" t="str">
        <f>VLOOKUP(WEEKDAY(B5),גיליון1!$A$1:$B$7,2,0)</f>
        <v>ב</v>
      </c>
      <c r="B5" s="55">
        <f>+B4+1</f>
        <v>46055</v>
      </c>
      <c r="C5" s="3"/>
      <c r="D5" s="4"/>
      <c r="E5" s="3"/>
      <c r="F5" s="4"/>
      <c r="G5" s="6"/>
      <c r="H5" s="4"/>
      <c r="I5" s="20">
        <f t="shared" si="0"/>
        <v>0</v>
      </c>
      <c r="J5" s="21">
        <f t="shared" ref="J5:J31" si="1">+I5*24</f>
        <v>0</v>
      </c>
      <c r="K5" s="61"/>
      <c r="L5" s="66"/>
    </row>
    <row r="6" spans="1:15" ht="18" customHeight="1" x14ac:dyDescent="0.25">
      <c r="A6" s="54" t="str">
        <f>VLOOKUP(WEEKDAY(B6),גיליון1!$A$1:$B$7,2,0)</f>
        <v>ג</v>
      </c>
      <c r="B6" s="55">
        <f t="shared" ref="B6:B31" si="2">+B5+1</f>
        <v>46056</v>
      </c>
      <c r="C6" s="3"/>
      <c r="D6" s="4"/>
      <c r="E6" s="3"/>
      <c r="F6" s="4"/>
      <c r="G6" s="6"/>
      <c r="H6" s="4"/>
      <c r="I6" s="20">
        <f t="shared" si="0"/>
        <v>0</v>
      </c>
      <c r="J6" s="21">
        <f t="shared" si="1"/>
        <v>0</v>
      </c>
      <c r="K6" s="61"/>
      <c r="L6" s="66"/>
    </row>
    <row r="7" spans="1:15" ht="18" customHeight="1" x14ac:dyDescent="0.25">
      <c r="A7" s="54" t="str">
        <f>VLOOKUP(WEEKDAY(B7),גיליון1!$A$1:$B$7,2,0)</f>
        <v>ד</v>
      </c>
      <c r="B7" s="55">
        <f t="shared" si="2"/>
        <v>46057</v>
      </c>
      <c r="C7" s="3"/>
      <c r="D7" s="4"/>
      <c r="E7" s="3"/>
      <c r="F7" s="4"/>
      <c r="G7" s="6"/>
      <c r="H7" s="4"/>
      <c r="I7" s="20">
        <f t="shared" si="0"/>
        <v>0</v>
      </c>
      <c r="J7" s="21">
        <f t="shared" si="1"/>
        <v>0</v>
      </c>
      <c r="K7" s="62"/>
      <c r="L7" s="66"/>
    </row>
    <row r="8" spans="1:15" ht="18" customHeight="1" x14ac:dyDescent="0.25">
      <c r="A8" s="54" t="str">
        <f>VLOOKUP(WEEKDAY(B8),גיליון1!$A$1:$B$7,2,0)</f>
        <v>ה</v>
      </c>
      <c r="B8" s="55">
        <f t="shared" si="2"/>
        <v>46058</v>
      </c>
      <c r="C8" s="3"/>
      <c r="D8" s="4"/>
      <c r="E8" s="3"/>
      <c r="F8" s="4"/>
      <c r="G8" s="6"/>
      <c r="H8" s="4"/>
      <c r="I8" s="20">
        <f t="shared" si="0"/>
        <v>0</v>
      </c>
      <c r="J8" s="21">
        <f t="shared" si="1"/>
        <v>0</v>
      </c>
      <c r="K8" s="61"/>
      <c r="L8" s="66"/>
    </row>
    <row r="9" spans="1:15" ht="18" customHeight="1" x14ac:dyDescent="0.25">
      <c r="A9" s="54" t="str">
        <f>VLOOKUP(WEEKDAY(B9),גיליון1!$A$1:$B$7,2,0)</f>
        <v>ו</v>
      </c>
      <c r="B9" s="55">
        <f t="shared" si="2"/>
        <v>46059</v>
      </c>
      <c r="C9" s="3"/>
      <c r="D9" s="4"/>
      <c r="E9" s="3"/>
      <c r="F9" s="4"/>
      <c r="G9" s="6"/>
      <c r="H9" s="4"/>
      <c r="I9" s="20">
        <f t="shared" si="0"/>
        <v>0</v>
      </c>
      <c r="J9" s="21">
        <f t="shared" si="1"/>
        <v>0</v>
      </c>
      <c r="K9" s="61"/>
      <c r="L9" s="66"/>
      <c r="N9" s="31"/>
      <c r="O9" s="32"/>
    </row>
    <row r="10" spans="1:15" ht="18" customHeight="1" x14ac:dyDescent="0.25">
      <c r="A10" s="54" t="str">
        <f>VLOOKUP(WEEKDAY(B10),גיליון1!$A$1:$B$7,2,0)</f>
        <v>ש</v>
      </c>
      <c r="B10" s="55">
        <f t="shared" si="2"/>
        <v>46060</v>
      </c>
      <c r="C10" s="3"/>
      <c r="D10" s="4"/>
      <c r="E10" s="3"/>
      <c r="F10" s="4"/>
      <c r="G10" s="6"/>
      <c r="H10" s="4"/>
      <c r="I10" s="20">
        <f t="shared" si="0"/>
        <v>0</v>
      </c>
      <c r="J10" s="21">
        <f t="shared" si="1"/>
        <v>0</v>
      </c>
      <c r="K10" s="61"/>
      <c r="L10" s="66"/>
    </row>
    <row r="11" spans="1:15" ht="18" customHeight="1" x14ac:dyDescent="0.25">
      <c r="A11" s="54" t="str">
        <f>VLOOKUP(WEEKDAY(B11),גיליון1!$A$1:$B$7,2,0)</f>
        <v>א</v>
      </c>
      <c r="B11" s="55">
        <f t="shared" si="2"/>
        <v>46061</v>
      </c>
      <c r="C11" s="3"/>
      <c r="D11" s="4"/>
      <c r="E11" s="3"/>
      <c r="F11" s="4"/>
      <c r="G11" s="6"/>
      <c r="H11" s="4"/>
      <c r="I11" s="20">
        <f t="shared" si="0"/>
        <v>0</v>
      </c>
      <c r="J11" s="21">
        <f t="shared" si="1"/>
        <v>0</v>
      </c>
      <c r="K11" s="61"/>
      <c r="L11" s="66"/>
    </row>
    <row r="12" spans="1:15" ht="18" customHeight="1" x14ac:dyDescent="0.25">
      <c r="A12" s="54" t="str">
        <f>VLOOKUP(WEEKDAY(B12),גיליון1!$A$1:$B$7,2,0)</f>
        <v>ב</v>
      </c>
      <c r="B12" s="55">
        <f t="shared" si="2"/>
        <v>46062</v>
      </c>
      <c r="C12" s="3"/>
      <c r="D12" s="4"/>
      <c r="E12" s="3"/>
      <c r="F12" s="4"/>
      <c r="G12" s="6"/>
      <c r="H12" s="4"/>
      <c r="I12" s="20">
        <f t="shared" ref="I12:I17" si="3">+H12-G12+F12-E12+D12-C12+(D12&lt;C12)+(F12&lt;E12)+(H12&lt;G12)</f>
        <v>0</v>
      </c>
      <c r="J12" s="21">
        <f t="shared" si="1"/>
        <v>0</v>
      </c>
      <c r="K12" s="61"/>
      <c r="L12" s="66"/>
      <c r="N12" s="33"/>
    </row>
    <row r="13" spans="1:15" ht="18" customHeight="1" x14ac:dyDescent="0.25">
      <c r="A13" s="54" t="str">
        <f>VLOOKUP(WEEKDAY(B13),גיליון1!$A$1:$B$7,2,0)</f>
        <v>ג</v>
      </c>
      <c r="B13" s="55">
        <f t="shared" si="2"/>
        <v>46063</v>
      </c>
      <c r="C13" s="3"/>
      <c r="D13" s="4"/>
      <c r="E13" s="7"/>
      <c r="F13" s="8"/>
      <c r="G13" s="9"/>
      <c r="H13" s="8"/>
      <c r="I13" s="20">
        <f t="shared" si="3"/>
        <v>0</v>
      </c>
      <c r="J13" s="21">
        <f t="shared" si="1"/>
        <v>0</v>
      </c>
      <c r="K13" s="62"/>
      <c r="L13" s="66"/>
    </row>
    <row r="14" spans="1:15" ht="18" customHeight="1" x14ac:dyDescent="0.25">
      <c r="A14" s="54" t="str">
        <f>VLOOKUP(WEEKDAY(B14),גיליון1!$A$1:$B$7,2,0)</f>
        <v>ד</v>
      </c>
      <c r="B14" s="55">
        <f t="shared" si="2"/>
        <v>46064</v>
      </c>
      <c r="C14" s="3"/>
      <c r="D14" s="4"/>
      <c r="E14" s="7"/>
      <c r="F14" s="8"/>
      <c r="G14" s="9"/>
      <c r="H14" s="8"/>
      <c r="I14" s="20">
        <f t="shared" si="3"/>
        <v>0</v>
      </c>
      <c r="J14" s="21">
        <f t="shared" si="1"/>
        <v>0</v>
      </c>
      <c r="K14" s="62"/>
      <c r="L14" s="66"/>
    </row>
    <row r="15" spans="1:15" ht="18" customHeight="1" x14ac:dyDescent="0.25">
      <c r="A15" s="54" t="str">
        <f>VLOOKUP(WEEKDAY(B15),גיליון1!$A$1:$B$7,2,0)</f>
        <v>ה</v>
      </c>
      <c r="B15" s="55">
        <f t="shared" si="2"/>
        <v>46065</v>
      </c>
      <c r="C15" s="3"/>
      <c r="D15" s="4"/>
      <c r="E15" s="7"/>
      <c r="F15" s="8"/>
      <c r="G15" s="9"/>
      <c r="H15" s="8"/>
      <c r="I15" s="20">
        <f t="shared" si="3"/>
        <v>0</v>
      </c>
      <c r="J15" s="21">
        <f t="shared" si="1"/>
        <v>0</v>
      </c>
      <c r="K15" s="62"/>
      <c r="L15" s="66"/>
    </row>
    <row r="16" spans="1:15" ht="18" customHeight="1" x14ac:dyDescent="0.25">
      <c r="A16" s="54" t="str">
        <f>VLOOKUP(WEEKDAY(B16),גיליון1!$A$1:$B$7,2,0)</f>
        <v>ו</v>
      </c>
      <c r="B16" s="55">
        <f t="shared" si="2"/>
        <v>46066</v>
      </c>
      <c r="C16" s="3"/>
      <c r="D16" s="4"/>
      <c r="E16" s="7"/>
      <c r="F16" s="8"/>
      <c r="G16" s="9"/>
      <c r="H16" s="8"/>
      <c r="I16" s="20">
        <f t="shared" si="3"/>
        <v>0</v>
      </c>
      <c r="J16" s="21">
        <f t="shared" si="1"/>
        <v>0</v>
      </c>
      <c r="K16" s="62"/>
      <c r="L16" s="66"/>
    </row>
    <row r="17" spans="1:12" ht="18" customHeight="1" x14ac:dyDescent="0.25">
      <c r="A17" s="54" t="str">
        <f>VLOOKUP(WEEKDAY(B17),גיליון1!$A$1:$B$7,2,0)</f>
        <v>ש</v>
      </c>
      <c r="B17" s="55">
        <f t="shared" si="2"/>
        <v>46067</v>
      </c>
      <c r="C17" s="3"/>
      <c r="D17" s="4"/>
      <c r="E17" s="7"/>
      <c r="F17" s="8"/>
      <c r="G17" s="9"/>
      <c r="H17" s="8"/>
      <c r="I17" s="20">
        <f t="shared" si="3"/>
        <v>0</v>
      </c>
      <c r="J17" s="21">
        <f t="shared" si="1"/>
        <v>0</v>
      </c>
      <c r="K17" s="61"/>
      <c r="L17" s="66"/>
    </row>
    <row r="18" spans="1:12" ht="18" customHeight="1" x14ac:dyDescent="0.25">
      <c r="A18" s="54" t="str">
        <f>VLOOKUP(WEEKDAY(B18),גיליון1!$A$1:$B$7,2,0)</f>
        <v>א</v>
      </c>
      <c r="B18" s="55">
        <f t="shared" si="2"/>
        <v>46068</v>
      </c>
      <c r="C18" s="3"/>
      <c r="D18" s="4"/>
      <c r="E18" s="7"/>
      <c r="F18" s="8"/>
      <c r="G18" s="9"/>
      <c r="H18" s="8"/>
      <c r="I18" s="20">
        <f t="shared" si="0"/>
        <v>0</v>
      </c>
      <c r="J18" s="21">
        <f t="shared" si="1"/>
        <v>0</v>
      </c>
      <c r="K18" s="61"/>
      <c r="L18" s="66"/>
    </row>
    <row r="19" spans="1:12" ht="18" customHeight="1" x14ac:dyDescent="0.25">
      <c r="A19" s="54" t="str">
        <f>VLOOKUP(WEEKDAY(B19),גיליון1!$A$1:$B$7,2,0)</f>
        <v>ב</v>
      </c>
      <c r="B19" s="55">
        <f t="shared" si="2"/>
        <v>46069</v>
      </c>
      <c r="C19" s="3"/>
      <c r="D19" s="4"/>
      <c r="E19" s="7"/>
      <c r="F19" s="8"/>
      <c r="G19" s="9"/>
      <c r="H19" s="8"/>
      <c r="I19" s="20">
        <f t="shared" si="0"/>
        <v>0</v>
      </c>
      <c r="J19" s="21">
        <f t="shared" si="1"/>
        <v>0</v>
      </c>
      <c r="K19" s="62"/>
      <c r="L19" s="66"/>
    </row>
    <row r="20" spans="1:12" ht="18" customHeight="1" x14ac:dyDescent="0.25">
      <c r="A20" s="54" t="str">
        <f>VLOOKUP(WEEKDAY(B20),גיליון1!$A$1:$B$7,2,0)</f>
        <v>ג</v>
      </c>
      <c r="B20" s="55">
        <f t="shared" si="2"/>
        <v>46070</v>
      </c>
      <c r="C20" s="3"/>
      <c r="D20" s="4"/>
      <c r="E20" s="7"/>
      <c r="F20" s="8"/>
      <c r="G20" s="9"/>
      <c r="H20" s="8"/>
      <c r="I20" s="20">
        <f t="shared" si="0"/>
        <v>0</v>
      </c>
      <c r="J20" s="21">
        <f t="shared" si="1"/>
        <v>0</v>
      </c>
      <c r="K20" s="62"/>
      <c r="L20" s="66"/>
    </row>
    <row r="21" spans="1:12" ht="18" customHeight="1" x14ac:dyDescent="0.25">
      <c r="A21" s="54" t="str">
        <f>VLOOKUP(WEEKDAY(B21),גיליון1!$A$1:$B$7,2,0)</f>
        <v>ד</v>
      </c>
      <c r="B21" s="55">
        <f t="shared" si="2"/>
        <v>46071</v>
      </c>
      <c r="C21" s="3"/>
      <c r="D21" s="4"/>
      <c r="E21" s="7"/>
      <c r="F21" s="8"/>
      <c r="G21" s="9"/>
      <c r="H21" s="8"/>
      <c r="I21" s="20">
        <f t="shared" si="0"/>
        <v>0</v>
      </c>
      <c r="J21" s="21">
        <f t="shared" si="1"/>
        <v>0</v>
      </c>
      <c r="K21" s="62"/>
      <c r="L21" s="66"/>
    </row>
    <row r="22" spans="1:12" ht="18" customHeight="1" x14ac:dyDescent="0.25">
      <c r="A22" s="54" t="str">
        <f>VLOOKUP(WEEKDAY(B22),גיליון1!$A$1:$B$7,2,0)</f>
        <v>ה</v>
      </c>
      <c r="B22" s="55">
        <f t="shared" si="2"/>
        <v>46072</v>
      </c>
      <c r="C22" s="3"/>
      <c r="D22" s="4"/>
      <c r="E22" s="7"/>
      <c r="F22" s="8"/>
      <c r="G22" s="9"/>
      <c r="H22" s="8"/>
      <c r="I22" s="20">
        <f t="shared" si="0"/>
        <v>0</v>
      </c>
      <c r="J22" s="21">
        <f t="shared" si="1"/>
        <v>0</v>
      </c>
      <c r="K22" s="61"/>
      <c r="L22" s="66"/>
    </row>
    <row r="23" spans="1:12" ht="18" customHeight="1" x14ac:dyDescent="0.25">
      <c r="A23" s="54" t="str">
        <f>VLOOKUP(WEEKDAY(B23),גיליון1!$A$1:$B$7,2,0)</f>
        <v>ו</v>
      </c>
      <c r="B23" s="55">
        <f t="shared" si="2"/>
        <v>46073</v>
      </c>
      <c r="C23" s="3"/>
      <c r="D23" s="4"/>
      <c r="E23" s="7"/>
      <c r="F23" s="8"/>
      <c r="G23" s="9"/>
      <c r="H23" s="8"/>
      <c r="I23" s="20">
        <f t="shared" si="0"/>
        <v>0</v>
      </c>
      <c r="J23" s="21">
        <f t="shared" si="1"/>
        <v>0</v>
      </c>
      <c r="K23" s="62"/>
      <c r="L23" s="66"/>
    </row>
    <row r="24" spans="1:12" ht="18" customHeight="1" x14ac:dyDescent="0.25">
      <c r="A24" s="54" t="str">
        <f>VLOOKUP(WEEKDAY(B24),גיליון1!$A$1:$B$7,2,0)</f>
        <v>ש</v>
      </c>
      <c r="B24" s="55">
        <f t="shared" si="2"/>
        <v>46074</v>
      </c>
      <c r="C24" s="3"/>
      <c r="D24" s="4"/>
      <c r="E24" s="7"/>
      <c r="F24" s="8"/>
      <c r="G24" s="9"/>
      <c r="H24" s="8"/>
      <c r="I24" s="20">
        <f t="shared" si="0"/>
        <v>0</v>
      </c>
      <c r="J24" s="21">
        <f t="shared" si="1"/>
        <v>0</v>
      </c>
      <c r="K24" s="62"/>
      <c r="L24" s="66"/>
    </row>
    <row r="25" spans="1:12" ht="18" customHeight="1" x14ac:dyDescent="0.25">
      <c r="A25" s="54" t="str">
        <f>VLOOKUP(WEEKDAY(B25),גיליון1!$A$1:$B$7,2,0)</f>
        <v>א</v>
      </c>
      <c r="B25" s="55">
        <f t="shared" si="2"/>
        <v>46075</v>
      </c>
      <c r="C25" s="3"/>
      <c r="D25" s="4"/>
      <c r="E25" s="7"/>
      <c r="F25" s="8"/>
      <c r="G25" s="9"/>
      <c r="H25" s="8"/>
      <c r="I25" s="20">
        <f t="shared" si="0"/>
        <v>0</v>
      </c>
      <c r="J25" s="21">
        <f t="shared" si="1"/>
        <v>0</v>
      </c>
      <c r="K25" s="61"/>
      <c r="L25" s="66"/>
    </row>
    <row r="26" spans="1:12" ht="18" customHeight="1" x14ac:dyDescent="0.25">
      <c r="A26" s="54" t="str">
        <f>VLOOKUP(WEEKDAY(B26),גיליון1!$A$1:$B$7,2,0)</f>
        <v>ב</v>
      </c>
      <c r="B26" s="55">
        <f t="shared" si="2"/>
        <v>46076</v>
      </c>
      <c r="C26" s="3"/>
      <c r="D26" s="4"/>
      <c r="E26" s="7"/>
      <c r="F26" s="8"/>
      <c r="G26" s="9"/>
      <c r="H26" s="8"/>
      <c r="I26" s="20">
        <f t="shared" si="0"/>
        <v>0</v>
      </c>
      <c r="J26" s="21">
        <f t="shared" si="1"/>
        <v>0</v>
      </c>
      <c r="K26" s="61"/>
      <c r="L26" s="66"/>
    </row>
    <row r="27" spans="1:12" ht="18" customHeight="1" x14ac:dyDescent="0.25">
      <c r="A27" s="54" t="str">
        <f>VLOOKUP(WEEKDAY(B27),גיליון1!$A$1:$B$7,2,0)</f>
        <v>ג</v>
      </c>
      <c r="B27" s="55">
        <f t="shared" si="2"/>
        <v>46077</v>
      </c>
      <c r="C27" s="3"/>
      <c r="D27" s="4"/>
      <c r="E27" s="7"/>
      <c r="F27" s="8"/>
      <c r="G27" s="9"/>
      <c r="H27" s="8"/>
      <c r="I27" s="20">
        <f t="shared" si="0"/>
        <v>0</v>
      </c>
      <c r="J27" s="21">
        <f t="shared" si="1"/>
        <v>0</v>
      </c>
      <c r="K27" s="62"/>
      <c r="L27" s="66"/>
    </row>
    <row r="28" spans="1:12" ht="18" customHeight="1" x14ac:dyDescent="0.25">
      <c r="A28" s="54" t="str">
        <f>VLOOKUP(WEEKDAY(B28),גיליון1!$A$1:$B$7,2,0)</f>
        <v>ד</v>
      </c>
      <c r="B28" s="55">
        <f t="shared" si="2"/>
        <v>46078</v>
      </c>
      <c r="C28" s="3"/>
      <c r="D28" s="4"/>
      <c r="E28" s="7"/>
      <c r="F28" s="8"/>
      <c r="G28" s="9"/>
      <c r="H28" s="8"/>
      <c r="I28" s="20">
        <f t="shared" si="0"/>
        <v>0</v>
      </c>
      <c r="J28" s="21">
        <f t="shared" si="1"/>
        <v>0</v>
      </c>
      <c r="K28" s="62"/>
      <c r="L28" s="66"/>
    </row>
    <row r="29" spans="1:12" ht="18" customHeight="1" x14ac:dyDescent="0.25">
      <c r="A29" s="54" t="str">
        <f>VLOOKUP(WEEKDAY(B29),גיליון1!$A$1:$B$7,2,0)</f>
        <v>ה</v>
      </c>
      <c r="B29" s="55">
        <f t="shared" si="2"/>
        <v>46079</v>
      </c>
      <c r="C29" s="3"/>
      <c r="D29" s="4"/>
      <c r="E29" s="7"/>
      <c r="F29" s="8"/>
      <c r="G29" s="9"/>
      <c r="H29" s="8"/>
      <c r="I29" s="20">
        <f t="shared" si="0"/>
        <v>0</v>
      </c>
      <c r="J29" s="21">
        <f t="shared" si="1"/>
        <v>0</v>
      </c>
      <c r="K29" s="62"/>
      <c r="L29" s="66"/>
    </row>
    <row r="30" spans="1:12" ht="18" customHeight="1" x14ac:dyDescent="0.25">
      <c r="A30" s="54" t="str">
        <f>VLOOKUP(WEEKDAY(B30),גיליון1!$A$1:$B$7,2,0)</f>
        <v>ו</v>
      </c>
      <c r="B30" s="55">
        <f t="shared" si="2"/>
        <v>46080</v>
      </c>
      <c r="C30" s="3"/>
      <c r="D30" s="4"/>
      <c r="E30" s="7"/>
      <c r="F30" s="8"/>
      <c r="G30" s="9"/>
      <c r="H30" s="8"/>
      <c r="I30" s="20">
        <f t="shared" si="0"/>
        <v>0</v>
      </c>
      <c r="J30" s="21">
        <f t="shared" si="1"/>
        <v>0</v>
      </c>
      <c r="K30" s="62"/>
      <c r="L30" s="66"/>
    </row>
    <row r="31" spans="1:12" ht="18" customHeight="1" x14ac:dyDescent="0.25">
      <c r="A31" s="54" t="str">
        <f>VLOOKUP(WEEKDAY(B31),גיליון1!$A$1:$B$7,2,0)</f>
        <v>ש</v>
      </c>
      <c r="B31" s="55">
        <f t="shared" si="2"/>
        <v>46081</v>
      </c>
      <c r="C31" s="3"/>
      <c r="D31" s="4"/>
      <c r="E31" s="7"/>
      <c r="F31" s="10"/>
      <c r="G31" s="9"/>
      <c r="H31" s="10"/>
      <c r="I31" s="20">
        <f t="shared" si="0"/>
        <v>0</v>
      </c>
      <c r="J31" s="21">
        <f t="shared" si="1"/>
        <v>0</v>
      </c>
      <c r="K31" s="62"/>
      <c r="L31" s="66"/>
    </row>
    <row r="32" spans="1:12" ht="18" customHeight="1" x14ac:dyDescent="0.25">
      <c r="A32" s="54" t="e">
        <f>VLOOKUP(WEEKDAY(B32),גיליון1!$A$1:$B$7,2,0)</f>
        <v>#VALUE!</v>
      </c>
      <c r="B32" s="55" t="str">
        <f>IF(MONTH(1+$B$31)=MONTH($C$1),$B$31+1,"---")</f>
        <v>---</v>
      </c>
      <c r="C32" s="3"/>
      <c r="D32" s="4"/>
      <c r="E32" s="11"/>
      <c r="F32" s="10"/>
      <c r="G32" s="12"/>
      <c r="H32" s="10"/>
      <c r="I32" s="20">
        <f>+H32-G32+F32-E32+D32-C32+(D32&lt;C32)+(F32&lt;E32)+(H32&lt;G32)</f>
        <v>0</v>
      </c>
      <c r="J32" s="21">
        <f>+I32*24</f>
        <v>0</v>
      </c>
      <c r="K32" s="61"/>
      <c r="L32" s="66"/>
    </row>
    <row r="33" spans="1:12" ht="18" customHeight="1" x14ac:dyDescent="0.25">
      <c r="A33" s="54" t="e">
        <f>VLOOKUP(WEEKDAY(B33),גיליון1!$A$1:$B$7,2,0)</f>
        <v>#VALUE!</v>
      </c>
      <c r="B33" s="55" t="str">
        <f>IF(MONTH(2+$B$31)=MONTH($C$1),$B$31+2,"---")</f>
        <v>---</v>
      </c>
      <c r="C33" s="3"/>
      <c r="D33" s="4"/>
      <c r="E33" s="11"/>
      <c r="F33" s="10"/>
      <c r="G33" s="12"/>
      <c r="H33" s="10"/>
      <c r="I33" s="20">
        <f>+H33-G33+F33-E33+D33-C33+(D33&lt;C33)+(F33&lt;E33)+(H33&lt;G33)</f>
        <v>0</v>
      </c>
      <c r="J33" s="21">
        <f>+I33*24</f>
        <v>0</v>
      </c>
      <c r="K33" s="61"/>
      <c r="L33" s="66"/>
    </row>
    <row r="34" spans="1:12" ht="18" customHeight="1" thickBot="1" x14ac:dyDescent="0.3">
      <c r="A34" s="54" t="e">
        <f>VLOOKUP(WEEKDAY(B34),גיליון1!$A$1:$B$7,2,0)</f>
        <v>#VALUE!</v>
      </c>
      <c r="B34" s="55" t="str">
        <f>IF(MONTH(3+$B$31)=MONTH($C$1),$B$31+3,"---")</f>
        <v>---</v>
      </c>
      <c r="C34" s="15"/>
      <c r="D34" s="14"/>
      <c r="E34" s="13"/>
      <c r="F34" s="14"/>
      <c r="G34" s="15"/>
      <c r="H34" s="14"/>
      <c r="I34" s="42">
        <f>+H34-G34+F34-E34+D34-C34+(D34&lt;C34)+(F34&lt;E34)+(H34&lt;G34)</f>
        <v>0</v>
      </c>
      <c r="J34" s="19">
        <f>+I34*24</f>
        <v>0</v>
      </c>
      <c r="K34" s="63"/>
      <c r="L34" s="66"/>
    </row>
    <row r="35" spans="1:12" ht="13.8" thickTop="1" x14ac:dyDescent="0.25">
      <c r="A35" s="43" t="s">
        <v>6</v>
      </c>
      <c r="B35" s="44"/>
      <c r="C35" s="45"/>
      <c r="D35" s="46"/>
      <c r="E35" s="45">
        <f>COUNTIF(E4:E34,"&gt;0")</f>
        <v>0</v>
      </c>
      <c r="F35" s="46">
        <f>COUNTIF(F4:F34,"&gt;0")</f>
        <v>0</v>
      </c>
      <c r="G35" s="45">
        <f>COUNTIF(G4:G34,"&gt;0")</f>
        <v>0</v>
      </c>
      <c r="H35" s="46">
        <f>COUNTIF(H4:H34,"&gt;0")</f>
        <v>0</v>
      </c>
      <c r="I35" s="47"/>
      <c r="J35" s="48"/>
      <c r="K35" s="58"/>
      <c r="L35" s="66"/>
    </row>
    <row r="36" spans="1:12" ht="26.4" x14ac:dyDescent="0.25">
      <c r="A36" s="49"/>
      <c r="B36" s="34"/>
      <c r="C36" s="16" t="s">
        <v>9</v>
      </c>
      <c r="D36" s="17" t="s">
        <v>10</v>
      </c>
      <c r="E36" s="16" t="s">
        <v>9</v>
      </c>
      <c r="F36" s="17" t="s">
        <v>10</v>
      </c>
      <c r="G36" s="16" t="s">
        <v>9</v>
      </c>
      <c r="H36" s="17" t="s">
        <v>10</v>
      </c>
      <c r="I36" s="18" t="s">
        <v>9</v>
      </c>
      <c r="J36" s="19" t="s">
        <v>10</v>
      </c>
      <c r="K36" s="57"/>
      <c r="L36" s="66"/>
    </row>
    <row r="37" spans="1:12" ht="13.8" thickBot="1" x14ac:dyDescent="0.3">
      <c r="A37" s="50" t="s">
        <v>7</v>
      </c>
      <c r="B37" s="51"/>
      <c r="C37" s="52"/>
      <c r="D37" s="53"/>
      <c r="E37" s="52">
        <f t="array" ref="E37">SUM(F4:F34-E4:E34+(F4:F34&lt;E4:E34))</f>
        <v>0</v>
      </c>
      <c r="F37" s="53">
        <f>+E37*24</f>
        <v>0</v>
      </c>
      <c r="G37" s="52">
        <f t="array" ref="G37">SUM(H4:H34-G4:G34+(H4:H34&lt;G4:G34))</f>
        <v>0</v>
      </c>
      <c r="H37" s="53">
        <f>+G37*24</f>
        <v>0</v>
      </c>
      <c r="I37" s="52">
        <f>SUM(I4:I34)</f>
        <v>0</v>
      </c>
      <c r="J37" s="53">
        <f>+I37*24</f>
        <v>0</v>
      </c>
      <c r="K37" s="59"/>
      <c r="L37" s="66"/>
    </row>
    <row r="38" spans="1:12" ht="13.8" thickTop="1" x14ac:dyDescent="0.25">
      <c r="C38" s="35"/>
      <c r="D38" s="35"/>
      <c r="E38" s="35"/>
      <c r="F38" s="35"/>
      <c r="G38" s="35"/>
      <c r="H38" s="35"/>
      <c r="J38" s="35"/>
      <c r="K38" s="35"/>
    </row>
    <row r="39" spans="1:12" ht="17.399999999999999" x14ac:dyDescent="0.3">
      <c r="A39" s="36"/>
      <c r="C39" s="35"/>
      <c r="D39" s="35"/>
      <c r="E39" s="35"/>
      <c r="F39" s="35"/>
      <c r="G39" s="35"/>
      <c r="H39" s="35"/>
    </row>
    <row r="40" spans="1:12" ht="24" customHeight="1" x14ac:dyDescent="0.3">
      <c r="A40" s="36"/>
      <c r="C40" s="35"/>
      <c r="D40" s="35"/>
      <c r="E40" s="35"/>
      <c r="F40" s="35"/>
      <c r="G40" s="35"/>
      <c r="H40" s="35"/>
    </row>
    <row r="41" spans="1:12" ht="17.399999999999999" x14ac:dyDescent="0.3">
      <c r="A41" s="36"/>
      <c r="C41" s="37"/>
      <c r="E41" s="37"/>
      <c r="G41" s="37"/>
      <c r="J41" s="35"/>
      <c r="K41" s="35"/>
    </row>
    <row r="42" spans="1:12" s="39" customFormat="1" ht="17.399999999999999" x14ac:dyDescent="0.3">
      <c r="A42" s="38"/>
      <c r="C42" s="40"/>
      <c r="E42" s="40"/>
      <c r="G42" s="41"/>
    </row>
    <row r="43" spans="1:12" ht="17.399999999999999" x14ac:dyDescent="0.3">
      <c r="A43" s="36"/>
      <c r="C43" s="37"/>
      <c r="E43" s="37"/>
      <c r="G43" s="37"/>
    </row>
    <row r="44" spans="1:12" ht="17.399999999999999" x14ac:dyDescent="0.3">
      <c r="A44" s="36"/>
      <c r="C44" s="37"/>
      <c r="E44" s="37"/>
      <c r="G44" s="37"/>
    </row>
    <row r="45" spans="1:12" x14ac:dyDescent="0.25">
      <c r="C45" s="37"/>
      <c r="E45" s="37"/>
      <c r="G45" s="37"/>
    </row>
    <row r="46" spans="1:12" x14ac:dyDescent="0.25">
      <c r="C46" s="37"/>
      <c r="E46" s="37"/>
      <c r="G46" s="37"/>
    </row>
    <row r="47" spans="1:12" x14ac:dyDescent="0.25">
      <c r="C47" s="37"/>
      <c r="E47" s="37"/>
      <c r="G47" s="37"/>
    </row>
  </sheetData>
  <mergeCells count="1">
    <mergeCell ref="C1:D1"/>
  </mergeCells>
  <phoneticPr fontId="0" type="noConversion"/>
  <conditionalFormatting sqref="E4:E34">
    <cfRule type="expression" dxfId="20" priority="58" stopIfTrue="1">
      <formula>AND(E4&lt;&gt;"",E4&lt;D4)</formula>
    </cfRule>
  </conditionalFormatting>
  <conditionalFormatting sqref="G4:G34">
    <cfRule type="expression" dxfId="19" priority="57" stopIfTrue="1">
      <formula>AND(G4&lt;&gt;"",G4&lt;F4)</formula>
    </cfRule>
  </conditionalFormatting>
  <conditionalFormatting sqref="G36">
    <cfRule type="expression" dxfId="18" priority="55" stopIfTrue="1">
      <formula>AND(G36&lt;&gt;"",G36&lt;F36)</formula>
    </cfRule>
  </conditionalFormatting>
  <conditionalFormatting sqref="C36">
    <cfRule type="expression" dxfId="17" priority="53" stopIfTrue="1">
      <formula>AND(C36&lt;&gt;"",C36&lt;B36)</formula>
    </cfRule>
  </conditionalFormatting>
  <conditionalFormatting sqref="E36">
    <cfRule type="expression" dxfId="16" priority="61" stopIfTrue="1">
      <formula>AND(E36&lt;&gt;"",E36&lt;C38)</formula>
    </cfRule>
  </conditionalFormatting>
  <conditionalFormatting sqref="E36">
    <cfRule type="expression" dxfId="15" priority="51" stopIfTrue="1">
      <formula>AND(E36&lt;&gt;"",E36&lt;D36)</formula>
    </cfRule>
  </conditionalFormatting>
  <conditionalFormatting sqref="G36">
    <cfRule type="expression" dxfId="14" priority="50" stopIfTrue="1">
      <formula>AND(G36&lt;&gt;"",G36&lt;F36)</formula>
    </cfRule>
  </conditionalFormatting>
  <conditionalFormatting sqref="E36">
    <cfRule type="expression" dxfId="13" priority="49" stopIfTrue="1">
      <formula>AND(E36&lt;&gt;"",E36&lt;D36)</formula>
    </cfRule>
  </conditionalFormatting>
  <conditionalFormatting sqref="I4:I34">
    <cfRule type="cellIs" dxfId="12" priority="48" stopIfTrue="1" operator="greaterThan">
      <formula>0.999305555555556</formula>
    </cfRule>
  </conditionalFormatting>
  <conditionalFormatting sqref="D4 D6">
    <cfRule type="cellIs" dxfId="11" priority="47" stopIfTrue="1" operator="lessThan">
      <formula>C4</formula>
    </cfRule>
  </conditionalFormatting>
  <conditionalFormatting sqref="F4:F34">
    <cfRule type="cellIs" dxfId="10" priority="46" stopIfTrue="1" operator="lessThan">
      <formula>E4</formula>
    </cfRule>
  </conditionalFormatting>
  <conditionalFormatting sqref="H4:H34">
    <cfRule type="cellIs" dxfId="9" priority="45" stopIfTrue="1" operator="lessThan">
      <formula>G4</formula>
    </cfRule>
  </conditionalFormatting>
  <conditionalFormatting sqref="I32">
    <cfRule type="expression" dxfId="8" priority="44" stopIfTrue="1">
      <formula>B32="---"</formula>
    </cfRule>
  </conditionalFormatting>
  <conditionalFormatting sqref="I33">
    <cfRule type="expression" dxfId="7" priority="41" stopIfTrue="1">
      <formula>B33="---"</formula>
    </cfRule>
  </conditionalFormatting>
  <conditionalFormatting sqref="I34">
    <cfRule type="expression" dxfId="6" priority="40" stopIfTrue="1">
      <formula>B34="---"</formula>
    </cfRule>
  </conditionalFormatting>
  <conditionalFormatting sqref="J32:K34">
    <cfRule type="expression" dxfId="5" priority="39" stopIfTrue="1">
      <formula>B32="---"</formula>
    </cfRule>
  </conditionalFormatting>
  <conditionalFormatting sqref="D5">
    <cfRule type="cellIs" dxfId="4" priority="13" stopIfTrue="1" operator="lessThan">
      <formula>C5</formula>
    </cfRule>
  </conditionalFormatting>
  <conditionalFormatting sqref="D7:D33">
    <cfRule type="cellIs" dxfId="3" priority="3" stopIfTrue="1" operator="lessThan">
      <formula>C7</formula>
    </cfRule>
  </conditionalFormatting>
  <conditionalFormatting sqref="C34">
    <cfRule type="expression" dxfId="2" priority="2" stopIfTrue="1">
      <formula>AND(C34&lt;&gt;"",C34&lt;B34)</formula>
    </cfRule>
  </conditionalFormatting>
  <conditionalFormatting sqref="D34">
    <cfRule type="cellIs" dxfId="1" priority="1" stopIfTrue="1" operator="lessThan">
      <formula>C34</formula>
    </cfRule>
  </conditionalFormatting>
  <conditionalFormatting sqref="A35:A37">
    <cfRule type="expression" dxfId="0" priority="62" stopIfTrue="1">
      <formula>AND(A35&lt;&gt;"",A35&lt;#REF!)</formula>
    </cfRule>
  </conditionalFormatting>
  <pageMargins left="0.39370078740157483" right="0.43307086614173229" top="0.43307086614173229" bottom="0.35433070866141736" header="0.27559055118110237" footer="0.1574803149606299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5AFC-E4BA-4F9E-9569-B039F615AC10}">
  <dimension ref="A1:B7"/>
  <sheetViews>
    <sheetView rightToLeft="1" workbookViewId="0">
      <selection activeCell="B8" sqref="B8"/>
    </sheetView>
  </sheetViews>
  <sheetFormatPr defaultRowHeight="13.2" x14ac:dyDescent="0.25"/>
  <sheetData>
    <row r="1" spans="1:2" x14ac:dyDescent="0.25">
      <c r="A1">
        <v>1</v>
      </c>
      <c r="B1" s="1" t="s">
        <v>15</v>
      </c>
    </row>
    <row r="2" spans="1:2" x14ac:dyDescent="0.25">
      <c r="A2">
        <v>2</v>
      </c>
      <c r="B2" s="1" t="s">
        <v>16</v>
      </c>
    </row>
    <row r="3" spans="1:2" x14ac:dyDescent="0.25">
      <c r="A3">
        <v>3</v>
      </c>
      <c r="B3" s="1" t="s">
        <v>17</v>
      </c>
    </row>
    <row r="4" spans="1:2" x14ac:dyDescent="0.25">
      <c r="A4">
        <v>4</v>
      </c>
      <c r="B4" s="1" t="s">
        <v>18</v>
      </c>
    </row>
    <row r="5" spans="1:2" x14ac:dyDescent="0.25">
      <c r="A5">
        <v>5</v>
      </c>
      <c r="B5" s="1" t="s">
        <v>19</v>
      </c>
    </row>
    <row r="6" spans="1:2" x14ac:dyDescent="0.25">
      <c r="A6">
        <v>6</v>
      </c>
      <c r="B6" s="1" t="s">
        <v>20</v>
      </c>
    </row>
    <row r="7" spans="1:2" x14ac:dyDescent="0.25">
      <c r="A7">
        <v>7</v>
      </c>
      <c r="B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ינואר</vt:lpstr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2012-06-26T09:49:55Z</cp:lastPrinted>
  <dcterms:created xsi:type="dcterms:W3CDTF">2006-05-02T07:32:22Z</dcterms:created>
  <dcterms:modified xsi:type="dcterms:W3CDTF">2026-05-10T11:05:12Z</dcterms:modified>
</cp:coreProperties>
</file>